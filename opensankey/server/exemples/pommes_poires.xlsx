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ate1904="1"/>
  <mc:AlternateContent xmlns:mc="http://schemas.openxmlformats.org/markup-compatibility/2006">
    <mc:Choice Requires="x15">
      <x15ac:absPath xmlns:x15ac="http://schemas.microsoft.com/office/spreadsheetml/2010/11/ac" url="D:\AFMFilieres\dev_terriflux\opensankey\opensankey\server\exemples\"/>
    </mc:Choice>
  </mc:AlternateContent>
  <bookViews>
    <workbookView xWindow="0" yWindow="0" windowWidth="28800" windowHeight="12825" tabRatio="500" activeTab="1"/>
  </bookViews>
  <sheets>
    <sheet name="Param" sheetId="1" r:id="rId1"/>
    <sheet name="Dim produits" sheetId="2" r:id="rId2"/>
    <sheet name="Dim secteurs" sheetId="3" r:id="rId3"/>
    <sheet name="ter1" sheetId="4" r:id="rId4"/>
    <sheet name="data" sheetId="5" r:id="rId5"/>
    <sheet name="min_max" sheetId="6" r:id="rId6"/>
    <sheet name="other_constraints" sheetId="7" r:id="rId7"/>
    <sheet name="Ai" sheetId="8" r:id="rId8"/>
    <sheet name="Results" sheetId="9" r:id="rId9"/>
    <sheet name="result ter moy" sheetId="10" r:id="rId10"/>
  </sheets>
  <calcPr calcId="0" iterateDelta="1E-4"/>
</workbook>
</file>

<file path=xl/sharedStrings.xml><?xml version="1.0" encoding="utf-8"?>
<sst xmlns="http://schemas.openxmlformats.org/spreadsheetml/2006/main" count="242" uniqueCount="96">
  <si>
    <t>Paramètre</t>
  </si>
  <si>
    <t>Valeur</t>
  </si>
  <si>
    <t>Description</t>
  </si>
  <si>
    <t>max</t>
  </si>
  <si>
    <t>Borne sup pour les flux</t>
  </si>
  <si>
    <t>tol</t>
  </si>
  <si>
    <t>Tolérance sur les contraintes</t>
  </si>
  <si>
    <t>Level</t>
  </si>
  <si>
    <t>Element</t>
  </si>
  <si>
    <t>Bilan matière ?</t>
  </si>
  <si>
    <t>transport interreg</t>
  </si>
  <si>
    <t>poids consolidation (1 par défaut)</t>
  </si>
  <si>
    <t>table consolidation</t>
  </si>
  <si>
    <t>Sankey ?</t>
  </si>
  <si>
    <t>Couleur</t>
  </si>
  <si>
    <t>Fruits</t>
  </si>
  <si>
    <t>Pommes</t>
  </si>
  <si>
    <t>green</t>
  </si>
  <si>
    <t>Poires</t>
  </si>
  <si>
    <t>orange</t>
  </si>
  <si>
    <t>Poids de consolidation (1 par défaut)</t>
  </si>
  <si>
    <t>Table consolidation</t>
  </si>
  <si>
    <t>Production de fruits</t>
  </si>
  <si>
    <t>Production de pommes</t>
  </si>
  <si>
    <t>grey</t>
  </si>
  <si>
    <t>Production de poires</t>
  </si>
  <si>
    <t>Consommation</t>
  </si>
  <si>
    <t>période</t>
  </si>
  <si>
    <t>Région</t>
  </si>
  <si>
    <t>Table</t>
  </si>
  <si>
    <t>Origine</t>
  </si>
  <si>
    <t>Destination</t>
  </si>
  <si>
    <t>Quantité</t>
  </si>
  <si>
    <t>Incertitude (%)</t>
  </si>
  <si>
    <t>Contrainte 2 sigmas</t>
  </si>
  <si>
    <t>s</t>
  </si>
  <si>
    <t>International</t>
  </si>
  <si>
    <t>u</t>
  </si>
  <si>
    <t>Période</t>
  </si>
  <si>
    <t>min</t>
  </si>
  <si>
    <t>id</t>
  </si>
  <si>
    <t>Ressources / Emplois</t>
  </si>
  <si>
    <t>eq = 0</t>
  </si>
  <si>
    <t>eq &lt;= 0</t>
  </si>
  <si>
    <t>eq &gt;= 0</t>
  </si>
  <si>
    <t>contrainte id</t>
  </si>
  <si>
    <t>type</t>
  </si>
  <si>
    <t>var id</t>
  </si>
  <si>
    <t>nom var</t>
  </si>
  <si>
    <t>coef</t>
  </si>
  <si>
    <t>etc.</t>
  </si>
  <si>
    <t>aggregation</t>
  </si>
  <si>
    <t>Production de fruits -&gt; Fruits</t>
  </si>
  <si>
    <t>Production de fruits -&gt; Pommes</t>
  </si>
  <si>
    <t>Production de fruits -&gt; Poires</t>
  </si>
  <si>
    <t>Production de pommes -&gt; Fruits</t>
  </si>
  <si>
    <t>Production de poires -&gt; Fruits</t>
  </si>
  <si>
    <t>Production de pommes -&gt; Pommes</t>
  </si>
  <si>
    <t>Production de poires -&gt; Poires</t>
  </si>
  <si>
    <t>Fruits -&gt; Consommation</t>
  </si>
  <si>
    <t>Pommes -&gt; Consommation</t>
  </si>
  <si>
    <t>Poires -&gt; Consommation</t>
  </si>
  <si>
    <t>products</t>
  </si>
  <si>
    <t>table</t>
  </si>
  <si>
    <t>produit</t>
  </si>
  <si>
    <t>secteur</t>
  </si>
  <si>
    <t>origine</t>
  </si>
  <si>
    <t>destination</t>
  </si>
  <si>
    <t>valeur in</t>
  </si>
  <si>
    <t>sigma in</t>
  </si>
  <si>
    <t>sigma in %</t>
  </si>
  <si>
    <t>min in</t>
  </si>
  <si>
    <t>max in</t>
  </si>
  <si>
    <t>valeur out</t>
  </si>
  <si>
    <t>nb_sigmas</t>
  </si>
  <si>
    <t>Ai</t>
  </si>
  <si>
    <t>free min</t>
  </si>
  <si>
    <t>free max</t>
  </si>
  <si>
    <t>classif</t>
  </si>
  <si>
    <t xml:space="preserve">0 - 1 - </t>
  </si>
  <si>
    <t>déterminé pp</t>
  </si>
  <si>
    <t xml:space="preserve">1 - 2 - 7 - </t>
  </si>
  <si>
    <t>déterminé</t>
  </si>
  <si>
    <t xml:space="preserve">1 - 3 - 7 - </t>
  </si>
  <si>
    <t xml:space="preserve">0 - 4 - </t>
  </si>
  <si>
    <t>redondant</t>
  </si>
  <si>
    <t xml:space="preserve">2 - 4 - 8 - </t>
  </si>
  <si>
    <t xml:space="preserve">0 - 5 - </t>
  </si>
  <si>
    <t xml:space="preserve">3 - 5 - 9 - </t>
  </si>
  <si>
    <t xml:space="preserve">6 - 7 - </t>
  </si>
  <si>
    <t xml:space="preserve">6 - 8 - </t>
  </si>
  <si>
    <t xml:space="preserve">6 - 9 - </t>
  </si>
  <si>
    <t>Production de fruits(1)</t>
  </si>
  <si>
    <t>Consommation(1)</t>
  </si>
  <si>
    <t>Fruits(1)</t>
  </si>
  <si>
    <t>blue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</si>
</sst>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\ %"/>
  </numFmts>
  <fonts count="6" x14ac:knownFonts="1">
    <font>
      <sz val="10"/>
      <name val="Verdana"/>
      <charset val="1"/>
    </font>
    <font>
      <b/>
      <sz val="10"/>
      <name val="Verdana"/>
      <charset val="1"/>
    </font>
    <font>
      <sz val="11"/>
      <name val="Verdana"/>
      <charset val="1"/>
    </font>
    <font>
      <sz val="1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/>
    <xf numFmtId="0" fontId="1" fillId="0" borderId="0" xfId="0" applyFont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1" fontId="2" fillId="0" borderId="2" xfId="0" applyNumberFormat="1" applyFont="1" applyBorder="1"/>
    <xf numFmtId="1" fontId="0" fillId="0" borderId="0" xfId="0" applyNumberFormat="1"/>
    <xf numFmtId="0" fontId="0" fillId="0" borderId="2" xfId="0" applyBorder="1"/>
    <xf numFmtId="1" fontId="2" fillId="0" borderId="3" xfId="0" applyNumberFormat="1" applyFont="1" applyBorder="1"/>
    <xf numFmtId="0" fontId="2" fillId="0" borderId="3" xfId="0" applyFont="1" applyBorder="1" applyAlignment="1">
      <alignment horizontal="left" vertical="center" wrapText="1"/>
    </xf>
    <xf numFmtId="0" fontId="0" fillId="0" borderId="1" xfId="0" applyBorder="1"/>
    <xf numFmtId="0" fontId="3" fillId="0" borderId="1" xfId="0" applyFont="1" applyBorder="1" applyAlignment="1">
      <alignment horizontal="left" vertical="center" wrapText="1"/>
    </xf>
    <xf numFmtId="0" fontId="0" fillId="0" borderId="3" xfId="0" applyBorder="1"/>
    <xf numFmtId="0" fontId="3" fillId="0" borderId="3" xfId="0" applyFont="1" applyBorder="1" applyAlignment="1">
      <alignment horizontal="left" vertical="center" wrapText="1"/>
    </xf>
    <xf numFmtId="0" fontId="0" fillId="0" borderId="3" xfId="0" applyBorder="1" applyAlignment="1">
      <alignment vertical="center"/>
    </xf>
    <xf numFmtId="0" fontId="4" fillId="0" borderId="0" xfId="0" applyFont="1"/>
    <xf numFmtId="3" fontId="4" fillId="0" borderId="0" xfId="0" applyNumberFormat="1" applyFont="1"/>
    <xf numFmtId="164" fontId="0" fillId="0" borderId="0" xfId="0" applyNumberFormat="1"/>
    <xf numFmtId="0" fontId="5" fillId="0" borderId="0" xfId="0" applyFont="1"/>
  </cellXfs>
  <cellStyles count="1">
    <cellStyle name="Normal" xfId="0" builtinId="0"/>
  </cellStyles>
  <dxfs count="4">
    <dxf>
      <font>
        <color rgb="FFC0C0C0"/>
      </font>
      <fill>
        <patternFill>
          <bgColor rgb="FFC0C0C0"/>
        </patternFill>
      </fill>
    </dxf>
    <dxf>
      <font>
        <color rgb="FFC0C0C0"/>
      </font>
      <fill>
        <patternFill>
          <bgColor rgb="FFC0C0C0"/>
        </patternFill>
      </fill>
    </dxf>
    <dxf>
      <fill>
        <patternFill>
          <bgColor rgb="FFCCCCCC"/>
        </patternFill>
      </fill>
    </dxf>
    <dxf>
      <fill>
        <patternFill>
          <bgColor rgb="FFCC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K3"/>
  <sheetViews>
    <sheetView zoomScaleNormal="100" workbookViewId="0">
      <selection activeCell="A4" sqref="A4"/>
    </sheetView>
  </sheetViews>
  <sheetFormatPr baseColWidth="10" defaultColWidth="8.9375" defaultRowHeight="12.4" x14ac:dyDescent="0.3"/>
  <cols>
    <col min="1" max="1" width="17.87890625" style="1" customWidth="1"/>
    <col min="2" max="2" width="10.46875" style="1" customWidth="1"/>
    <col min="3" max="3" width="21.76171875" style="1" customWidth="1"/>
    <col min="4" max="1025" width="10.46875" style="1" customWidth="1"/>
  </cols>
  <sheetData>
    <row r="1" spans="1:3" ht="12.95" customHeight="1" x14ac:dyDescent="0.3">
      <c r="A1" s="2" t="s">
        <v>0</v>
      </c>
      <c r="B1" s="2" t="s">
        <v>1</v>
      </c>
      <c r="C1" s="2" t="s">
        <v>2</v>
      </c>
    </row>
    <row r="2" spans="1:3" ht="12.95" customHeight="1" x14ac:dyDescent="0.3">
      <c r="A2" t="s">
        <v>3</v>
      </c>
      <c r="B2">
        <v>100</v>
      </c>
      <c r="C2" t="s">
        <v>4</v>
      </c>
    </row>
    <row r="3" spans="1:3" ht="12.95" customHeight="1" x14ac:dyDescent="0.3">
      <c r="A3" t="s">
        <v>5</v>
      </c>
      <c r="B3">
        <v>0.1</v>
      </c>
      <c r="C3" t="s">
        <v>6</v>
      </c>
    </row>
  </sheetData>
  <pageMargins left="0.75" right="0.75" top="1" bottom="1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K53"/>
  <sheetViews>
    <sheetView tabSelected="1" zoomScaleNormal="100" workbookViewId="0">
      <selection activeCell="H2" sqref="H2"/>
    </sheetView>
  </sheetViews>
  <sheetFormatPr baseColWidth="10" defaultColWidth="8.9375" defaultRowHeight="12.4" x14ac:dyDescent="0.3"/>
  <cols>
    <col min="1" max="1" width="10.76171875" style="1" customWidth="1"/>
    <col min="2" max="2" width="31.64453125" style="1" customWidth="1"/>
    <col min="3" max="3" width="13" style="1" customWidth="1"/>
    <col min="4" max="4" width="15.1171875" style="1" customWidth="1"/>
    <col min="5" max="5" width="27.87890625" style="1" customWidth="1"/>
    <col min="6" max="6" width="15.87890625" style="1" customWidth="1"/>
    <col min="7" max="1025" width="10.76171875" style="1" customWidth="1"/>
  </cols>
  <sheetData>
    <row r="1" spans="1:8" ht="14.1" customHeight="1" x14ac:dyDescent="0.35">
      <c r="A1" s="3" t="s">
        <v>7</v>
      </c>
      <c r="B1" s="3" t="s">
        <v>8</v>
      </c>
      <c r="C1" s="4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</row>
    <row r="2" spans="1:8" ht="14.1" customHeight="1" x14ac:dyDescent="0.35">
      <c r="A2" s="6">
        <v>1</v>
      </c>
      <c r="B2" s="4" t="s">
        <v>15</v>
      </c>
      <c r="C2" s="4">
        <v>1</v>
      </c>
      <c r="G2" s="7">
        <v>1</v>
      </c>
      <c r="H2" s="1" t="s">
        <v>95</v>
      </c>
    </row>
    <row r="3" spans="1:8" ht="14.1" customHeight="1" x14ac:dyDescent="0.35">
      <c r="A3" s="6">
        <v>2</v>
      </c>
      <c r="B3" s="8" t="s">
        <v>16</v>
      </c>
      <c r="C3" s="8">
        <v>1</v>
      </c>
      <c r="G3" s="7">
        <v>1</v>
      </c>
      <c r="H3" t="s">
        <v>17</v>
      </c>
    </row>
    <row r="4" spans="1:8" ht="14.1" customHeight="1" x14ac:dyDescent="0.35">
      <c r="A4" s="9">
        <v>2</v>
      </c>
      <c r="B4" s="10" t="s">
        <v>18</v>
      </c>
      <c r="C4" s="5">
        <v>1</v>
      </c>
      <c r="G4" s="7">
        <v>1</v>
      </c>
      <c r="H4" t="s">
        <v>19</v>
      </c>
    </row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  <row r="52" ht="14.1" customHeight="1" x14ac:dyDescent="0.3"/>
    <row r="53" ht="14.1" customHeight="1" x14ac:dyDescent="0.3"/>
  </sheetData>
  <pageMargins left="0.75" right="0.75" top="1" bottom="1" header="0.51180555555555496" footer="0.51180555555555496"/>
  <pageSetup paperSize="9"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K5"/>
  <sheetViews>
    <sheetView zoomScaleNormal="100" workbookViewId="0">
      <selection activeCell="G8" sqref="G8"/>
    </sheetView>
  </sheetViews>
  <sheetFormatPr baseColWidth="10" defaultColWidth="8.9375" defaultRowHeight="12.4" x14ac:dyDescent="0.3"/>
  <cols>
    <col min="1" max="1" width="10.76171875" style="1" customWidth="1"/>
    <col min="2" max="2" width="35.234375" style="1" customWidth="1"/>
    <col min="3" max="3" width="16" style="1" customWidth="1"/>
    <col min="4" max="4" width="13.87890625" style="1" customWidth="1"/>
    <col min="5" max="5" width="27.76171875" style="1" customWidth="1"/>
    <col min="6" max="6" width="14.76171875" style="1" customWidth="1"/>
    <col min="7" max="1025" width="10.76171875" style="1" customWidth="1"/>
  </cols>
  <sheetData>
    <row r="1" spans="1:8" ht="14.1" customHeight="1" x14ac:dyDescent="0.35">
      <c r="A1" s="11" t="s">
        <v>7</v>
      </c>
      <c r="B1" s="12" t="s">
        <v>8</v>
      </c>
      <c r="C1" s="4" t="s">
        <v>9</v>
      </c>
      <c r="D1" t="s">
        <v>10</v>
      </c>
      <c r="E1" t="s">
        <v>20</v>
      </c>
      <c r="F1" t="s">
        <v>21</v>
      </c>
      <c r="G1" t="s">
        <v>13</v>
      </c>
      <c r="H1" t="s">
        <v>14</v>
      </c>
    </row>
    <row r="2" spans="1:8" ht="14.1" customHeight="1" x14ac:dyDescent="0.3">
      <c r="A2" s="13">
        <v>1</v>
      </c>
      <c r="B2" s="14" t="s">
        <v>22</v>
      </c>
      <c r="C2" s="8"/>
      <c r="G2" s="7">
        <v>1</v>
      </c>
      <c r="H2" s="1" t="s">
        <v>24</v>
      </c>
    </row>
    <row r="3" spans="1:8" ht="14.1" customHeight="1" x14ac:dyDescent="0.3">
      <c r="A3" s="13">
        <v>2</v>
      </c>
      <c r="B3" s="14" t="s">
        <v>23</v>
      </c>
      <c r="C3" s="13"/>
      <c r="G3" s="7">
        <v>1</v>
      </c>
      <c r="H3" t="s">
        <v>24</v>
      </c>
    </row>
    <row r="4" spans="1:8" ht="14.1" customHeight="1" x14ac:dyDescent="0.3">
      <c r="A4" s="13">
        <v>2</v>
      </c>
      <c r="B4" s="15" t="s">
        <v>25</v>
      </c>
      <c r="C4" s="13"/>
      <c r="G4" s="7">
        <v>1</v>
      </c>
      <c r="H4" t="s">
        <v>24</v>
      </c>
    </row>
    <row r="5" spans="1:8" ht="14.1" customHeight="1" x14ac:dyDescent="0.3">
      <c r="A5" s="13">
        <v>1</v>
      </c>
      <c r="B5" s="14" t="s">
        <v>26</v>
      </c>
      <c r="C5" s="13"/>
      <c r="G5" s="7">
        <v>1</v>
      </c>
      <c r="H5" t="s">
        <v>24</v>
      </c>
    </row>
  </sheetData>
  <pageMargins left="0.75" right="0.75" top="1" bottom="1" header="0.51180555555555496" footer="0.51180555555555496"/>
  <pageSetup paperSize="9"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J11"/>
  <sheetViews>
    <sheetView zoomScaleNormal="100" workbookViewId="0">
      <selection activeCell="G1" sqref="G1:G1048576"/>
    </sheetView>
  </sheetViews>
  <sheetFormatPr baseColWidth="10" defaultColWidth="8.9375" defaultRowHeight="12.4" x14ac:dyDescent="0.3"/>
  <cols>
    <col min="1" max="2" width="8.76171875" style="1" customWidth="1"/>
    <col min="3" max="3" width="15.234375" style="1" customWidth="1"/>
    <col min="4" max="4" width="17.76171875" style="1" customWidth="1"/>
    <col min="5" max="5" width="15.87890625" style="1" customWidth="1"/>
    <col min="6" max="6" width="11.87890625" style="1" customWidth="1"/>
    <col min="7" max="1024" width="8.76171875" style="1" customWidth="1"/>
  </cols>
  <sheetData>
    <row r="2" spans="2:6" ht="12.95" customHeight="1" x14ac:dyDescent="0.3">
      <c r="C2" t="s">
        <v>22</v>
      </c>
      <c r="D2" t="s">
        <v>23</v>
      </c>
      <c r="E2" t="s">
        <v>25</v>
      </c>
      <c r="F2" t="s">
        <v>26</v>
      </c>
    </row>
    <row r="3" spans="2:6" ht="12.95" customHeight="1" x14ac:dyDescent="0.3">
      <c r="B3" t="s">
        <v>15</v>
      </c>
      <c r="C3" s="7">
        <v>1</v>
      </c>
      <c r="D3" s="7">
        <v>1</v>
      </c>
      <c r="E3" s="7">
        <v>1</v>
      </c>
      <c r="F3" s="7"/>
    </row>
    <row r="4" spans="2:6" ht="12.95" customHeight="1" x14ac:dyDescent="0.3">
      <c r="B4" t="s">
        <v>16</v>
      </c>
      <c r="C4" s="7">
        <v>1</v>
      </c>
      <c r="D4" s="7">
        <v>1</v>
      </c>
      <c r="E4" s="7"/>
      <c r="F4" s="7"/>
    </row>
    <row r="5" spans="2:6" ht="12.95" customHeight="1" x14ac:dyDescent="0.3">
      <c r="B5" t="s">
        <v>18</v>
      </c>
      <c r="C5" s="7">
        <v>1</v>
      </c>
      <c r="D5" s="7"/>
      <c r="E5" s="7">
        <v>1</v>
      </c>
      <c r="F5" s="7"/>
    </row>
    <row r="8" spans="2:6" ht="12.95" customHeight="1" x14ac:dyDescent="0.3">
      <c r="C8" t="s">
        <v>22</v>
      </c>
      <c r="D8" t="s">
        <v>23</v>
      </c>
      <c r="E8" t="s">
        <v>25</v>
      </c>
      <c r="F8" t="s">
        <v>26</v>
      </c>
    </row>
    <row r="9" spans="2:6" ht="12.95" customHeight="1" x14ac:dyDescent="0.3">
      <c r="B9" t="s">
        <v>15</v>
      </c>
      <c r="C9" s="7"/>
      <c r="D9" s="7"/>
      <c r="E9" s="7"/>
      <c r="F9" s="7">
        <v>1</v>
      </c>
    </row>
    <row r="10" spans="2:6" ht="12.95" customHeight="1" x14ac:dyDescent="0.3">
      <c r="B10" t="s">
        <v>16</v>
      </c>
      <c r="C10" s="7"/>
      <c r="D10" s="7"/>
      <c r="E10" s="7"/>
      <c r="F10" s="7">
        <v>1</v>
      </c>
    </row>
    <row r="11" spans="2:6" ht="12.95" customHeight="1" x14ac:dyDescent="0.3">
      <c r="B11" t="s">
        <v>18</v>
      </c>
      <c r="C11" s="7"/>
      <c r="D11" s="7"/>
      <c r="E11" s="7"/>
      <c r="F11" s="7">
        <v>1</v>
      </c>
    </row>
  </sheetData>
  <conditionalFormatting sqref="C3:F5">
    <cfRule type="cellIs" dxfId="3" priority="2" operator="equal">
      <formula>0</formula>
    </cfRule>
  </conditionalFormatting>
  <conditionalFormatting sqref="C9:F11">
    <cfRule type="cellIs" dxfId="2" priority="3" operator="equal">
      <formula>0</formula>
    </cfRule>
  </conditionalFormatting>
  <pageMargins left="0.75" right="0.75" top="1" bottom="1" header="0.51180555555555496" footer="0.51180555555555496"/>
  <pageSetup paperSize="9" firstPageNumber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K9"/>
  <sheetViews>
    <sheetView zoomScaleNormal="100" workbookViewId="0">
      <selection activeCell="A9" sqref="A9:XFD9"/>
    </sheetView>
  </sheetViews>
  <sheetFormatPr baseColWidth="10" defaultColWidth="8.9375" defaultRowHeight="12.4" x14ac:dyDescent="0.3"/>
  <cols>
    <col min="1" max="3" width="10.46875" style="1" customWidth="1"/>
    <col min="4" max="4" width="19.5859375" style="1" customWidth="1"/>
    <col min="5" max="7" width="10.46875" style="1" customWidth="1"/>
    <col min="8" max="8" width="13.87890625" style="1" customWidth="1"/>
    <col min="9" max="1025" width="10.46875" style="1" customWidth="1"/>
  </cols>
  <sheetData>
    <row r="1" spans="1:8" ht="14.1" customHeight="1" x14ac:dyDescent="0.45">
      <c r="A1" s="16" t="s">
        <v>27</v>
      </c>
      <c r="B1" s="16" t="s">
        <v>28</v>
      </c>
      <c r="C1" s="16" t="s">
        <v>29</v>
      </c>
      <c r="D1" s="16" t="s">
        <v>30</v>
      </c>
      <c r="E1" s="16" t="s">
        <v>31</v>
      </c>
      <c r="F1" s="17" t="s">
        <v>32</v>
      </c>
      <c r="G1" s="16" t="s">
        <v>33</v>
      </c>
      <c r="H1" s="16" t="s">
        <v>34</v>
      </c>
    </row>
    <row r="2" spans="1:8" ht="12.95" customHeight="1" x14ac:dyDescent="0.3">
      <c r="C2" t="s">
        <v>35</v>
      </c>
      <c r="D2" t="s">
        <v>22</v>
      </c>
      <c r="E2" t="s">
        <v>16</v>
      </c>
      <c r="F2">
        <v>30</v>
      </c>
      <c r="G2" s="18">
        <v>0.1</v>
      </c>
    </row>
    <row r="3" spans="1:8" ht="12.95" customHeight="1" x14ac:dyDescent="0.3">
      <c r="C3" t="s">
        <v>35</v>
      </c>
      <c r="D3" t="s">
        <v>23</v>
      </c>
      <c r="E3" t="s">
        <v>16</v>
      </c>
      <c r="F3">
        <v>30</v>
      </c>
      <c r="G3" s="18">
        <v>0.1</v>
      </c>
    </row>
    <row r="4" spans="1:8" ht="12.95" customHeight="1" x14ac:dyDescent="0.3">
      <c r="C4" t="s">
        <v>35</v>
      </c>
      <c r="D4" t="s">
        <v>36</v>
      </c>
      <c r="E4" t="s">
        <v>16</v>
      </c>
      <c r="F4">
        <v>10</v>
      </c>
      <c r="G4" s="18">
        <v>0.1</v>
      </c>
    </row>
    <row r="5" spans="1:8" ht="12.95" customHeight="1" x14ac:dyDescent="0.3">
      <c r="C5" t="s">
        <v>35</v>
      </c>
      <c r="D5" t="s">
        <v>22</v>
      </c>
      <c r="E5" t="s">
        <v>18</v>
      </c>
      <c r="F5">
        <v>15</v>
      </c>
      <c r="G5" s="18">
        <v>0.1</v>
      </c>
    </row>
    <row r="6" spans="1:8" ht="12.95" customHeight="1" x14ac:dyDescent="0.3">
      <c r="C6" t="s">
        <v>35</v>
      </c>
      <c r="D6" t="s">
        <v>25</v>
      </c>
      <c r="E6" t="s">
        <v>18</v>
      </c>
      <c r="F6">
        <v>15</v>
      </c>
      <c r="G6" s="18">
        <v>0.1</v>
      </c>
    </row>
    <row r="7" spans="1:8" ht="12.95" customHeight="1" x14ac:dyDescent="0.3">
      <c r="C7" t="s">
        <v>35</v>
      </c>
      <c r="D7" t="s">
        <v>36</v>
      </c>
      <c r="E7" t="s">
        <v>18</v>
      </c>
      <c r="F7">
        <v>10</v>
      </c>
      <c r="G7" s="18">
        <v>0.1</v>
      </c>
    </row>
    <row r="8" spans="1:8" ht="12.95" customHeight="1" x14ac:dyDescent="0.3">
      <c r="C8" t="s">
        <v>37</v>
      </c>
      <c r="D8" t="s">
        <v>16</v>
      </c>
      <c r="E8" t="s">
        <v>26</v>
      </c>
      <c r="F8">
        <v>20</v>
      </c>
      <c r="G8" s="18">
        <v>0.1</v>
      </c>
    </row>
    <row r="9" spans="1:8" ht="12.95" customHeight="1" x14ac:dyDescent="0.3">
      <c r="C9" t="s">
        <v>37</v>
      </c>
      <c r="D9" t="s">
        <v>18</v>
      </c>
      <c r="E9" t="s">
        <v>26</v>
      </c>
      <c r="F9">
        <v>25</v>
      </c>
      <c r="G9" s="18">
        <v>0.1</v>
      </c>
    </row>
  </sheetData>
  <pageMargins left="0.75" right="0.75" top="1" bottom="1" header="0.51180555555555496" footer="0.51180555555555496"/>
  <pageSetup paperSize="9" firstPageNumber="0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K1"/>
  <sheetViews>
    <sheetView zoomScaleNormal="100" workbookViewId="0"/>
  </sheetViews>
  <sheetFormatPr baseColWidth="10" defaultColWidth="8.9375" defaultRowHeight="12.4" x14ac:dyDescent="0.3"/>
  <cols>
    <col min="1" max="1025" width="10.46875" style="1" customWidth="1"/>
  </cols>
  <sheetData>
    <row r="1" spans="1:7" ht="14.1" customHeight="1" x14ac:dyDescent="0.45">
      <c r="A1" s="16" t="s">
        <v>38</v>
      </c>
      <c r="B1" s="16" t="s">
        <v>28</v>
      </c>
      <c r="C1" s="16" t="s">
        <v>29</v>
      </c>
      <c r="D1" s="16" t="s">
        <v>30</v>
      </c>
      <c r="E1" s="16" t="s">
        <v>31</v>
      </c>
      <c r="F1" s="17" t="s">
        <v>39</v>
      </c>
      <c r="G1" s="17" t="s">
        <v>3</v>
      </c>
    </row>
  </sheetData>
  <pageMargins left="0.75" right="0.75" top="1" bottom="1" header="0.51180555555555496" footer="0.51180555555555496"/>
  <pageSetup paperSize="9" firstPageNumber="0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K1"/>
  <sheetViews>
    <sheetView zoomScaleNormal="100" workbookViewId="0">
      <selection activeCell="G18" sqref="G18"/>
    </sheetView>
  </sheetViews>
  <sheetFormatPr baseColWidth="10" defaultColWidth="8.9375" defaultRowHeight="12.4" x14ac:dyDescent="0.3"/>
  <cols>
    <col min="1" max="3" width="10.46875" style="1" customWidth="1"/>
    <col min="4" max="4" width="14.87890625" style="1" customWidth="1"/>
    <col min="5" max="1025" width="10.46875" style="1" customWidth="1"/>
  </cols>
  <sheetData>
    <row r="1" spans="1:9" ht="14.1" customHeight="1" x14ac:dyDescent="0.45">
      <c r="A1" s="19" t="s">
        <v>40</v>
      </c>
      <c r="B1" s="19" t="s">
        <v>38</v>
      </c>
      <c r="C1" s="19" t="s">
        <v>28</v>
      </c>
      <c r="D1" s="19" t="s">
        <v>41</v>
      </c>
      <c r="E1" s="19" t="s">
        <v>30</v>
      </c>
      <c r="F1" s="19" t="s">
        <v>31</v>
      </c>
      <c r="G1" s="19" t="s">
        <v>42</v>
      </c>
      <c r="H1" s="19" t="s">
        <v>43</v>
      </c>
      <c r="I1" s="19" t="s">
        <v>44</v>
      </c>
    </row>
  </sheetData>
  <pageMargins left="0.75" right="0.75" top="1" bottom="1" header="0.51180555555555496" footer="0.51180555555555496"/>
  <pageSetup paperSize="9" firstPageNumber="0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"/>
  <sheetViews>
    <sheetView workbookViewId="0"/>
  </sheetViews>
  <sheetFormatPr baseColWidth="10" defaultColWidth="8.9375" defaultRowHeight="12.4" x14ac:dyDescent="0.3"/>
  <sheetData>
    <row r="1" spans="1:13" x14ac:dyDescent="0.3">
      <c r="A1" t="s">
        <v>45</v>
      </c>
      <c r="B1" t="s">
        <v>39</v>
      </c>
      <c r="C1" t="s">
        <v>3</v>
      </c>
      <c r="D1" t="s">
        <v>46</v>
      </c>
      <c r="E1" t="s">
        <v>47</v>
      </c>
      <c r="F1" t="s">
        <v>48</v>
      </c>
      <c r="G1" t="s">
        <v>49</v>
      </c>
      <c r="H1" t="s">
        <v>50</v>
      </c>
    </row>
    <row r="2" spans="1:13" x14ac:dyDescent="0.3">
      <c r="A2">
        <v>0</v>
      </c>
      <c r="B2">
        <v>0</v>
      </c>
      <c r="C2">
        <v>0</v>
      </c>
      <c r="D2" t="s">
        <v>51</v>
      </c>
      <c r="E2">
        <v>0</v>
      </c>
      <c r="F2" t="s">
        <v>52</v>
      </c>
      <c r="G2">
        <v>1</v>
      </c>
      <c r="H2">
        <v>3</v>
      </c>
      <c r="I2" t="s">
        <v>53</v>
      </c>
      <c r="J2">
        <v>-1</v>
      </c>
      <c r="K2">
        <v>5</v>
      </c>
      <c r="L2" t="s">
        <v>54</v>
      </c>
      <c r="M2">
        <v>-1</v>
      </c>
    </row>
    <row r="3" spans="1:13" x14ac:dyDescent="0.3">
      <c r="A3">
        <v>1</v>
      </c>
      <c r="B3">
        <v>0</v>
      </c>
      <c r="C3">
        <v>0</v>
      </c>
      <c r="D3" t="s">
        <v>51</v>
      </c>
      <c r="E3">
        <v>0</v>
      </c>
      <c r="F3" t="s">
        <v>52</v>
      </c>
      <c r="G3">
        <v>1</v>
      </c>
      <c r="H3">
        <v>1</v>
      </c>
      <c r="I3" t="s">
        <v>55</v>
      </c>
      <c r="J3">
        <v>-1</v>
      </c>
      <c r="K3">
        <v>2</v>
      </c>
      <c r="L3" t="s">
        <v>56</v>
      </c>
      <c r="M3">
        <v>-1</v>
      </c>
    </row>
    <row r="4" spans="1:13" x14ac:dyDescent="0.3">
      <c r="A4">
        <v>2</v>
      </c>
      <c r="B4">
        <v>0</v>
      </c>
      <c r="C4">
        <v>0</v>
      </c>
      <c r="D4" t="s">
        <v>51</v>
      </c>
      <c r="E4">
        <v>1</v>
      </c>
      <c r="F4" t="s">
        <v>55</v>
      </c>
      <c r="G4">
        <v>1</v>
      </c>
      <c r="H4">
        <v>4</v>
      </c>
      <c r="I4" t="s">
        <v>57</v>
      </c>
      <c r="J4">
        <v>-1</v>
      </c>
    </row>
    <row r="5" spans="1:13" x14ac:dyDescent="0.3">
      <c r="A5">
        <v>3</v>
      </c>
      <c r="B5">
        <v>0</v>
      </c>
      <c r="C5">
        <v>0</v>
      </c>
      <c r="D5" t="s">
        <v>51</v>
      </c>
      <c r="E5">
        <v>2</v>
      </c>
      <c r="F5" t="s">
        <v>56</v>
      </c>
      <c r="G5">
        <v>1</v>
      </c>
      <c r="H5">
        <v>6</v>
      </c>
      <c r="I5" t="s">
        <v>58</v>
      </c>
      <c r="J5">
        <v>-1</v>
      </c>
    </row>
    <row r="6" spans="1:13" x14ac:dyDescent="0.3">
      <c r="A6">
        <v>4</v>
      </c>
      <c r="B6">
        <v>0</v>
      </c>
      <c r="C6">
        <v>0</v>
      </c>
      <c r="D6" t="s">
        <v>51</v>
      </c>
      <c r="E6">
        <v>3</v>
      </c>
      <c r="F6" t="s">
        <v>53</v>
      </c>
      <c r="G6">
        <v>1</v>
      </c>
      <c r="H6">
        <v>4</v>
      </c>
      <c r="I6" t="s">
        <v>57</v>
      </c>
      <c r="J6">
        <v>-1</v>
      </c>
    </row>
    <row r="7" spans="1:13" x14ac:dyDescent="0.3">
      <c r="A7">
        <v>5</v>
      </c>
      <c r="B7">
        <v>0</v>
      </c>
      <c r="C7">
        <v>0</v>
      </c>
      <c r="D7" t="s">
        <v>51</v>
      </c>
      <c r="E7">
        <v>5</v>
      </c>
      <c r="F7" t="s">
        <v>54</v>
      </c>
      <c r="G7">
        <v>1</v>
      </c>
      <c r="H7">
        <v>6</v>
      </c>
      <c r="I7" t="s">
        <v>58</v>
      </c>
      <c r="J7">
        <v>-1</v>
      </c>
    </row>
    <row r="8" spans="1:13" x14ac:dyDescent="0.3">
      <c r="A8">
        <v>6</v>
      </c>
      <c r="B8">
        <v>0</v>
      </c>
      <c r="C8">
        <v>0</v>
      </c>
      <c r="D8" t="s">
        <v>51</v>
      </c>
      <c r="E8">
        <v>7</v>
      </c>
      <c r="F8" t="s">
        <v>59</v>
      </c>
      <c r="G8">
        <v>1</v>
      </c>
      <c r="H8">
        <v>8</v>
      </c>
      <c r="I8" t="s">
        <v>60</v>
      </c>
      <c r="J8">
        <v>-1</v>
      </c>
      <c r="K8">
        <v>9</v>
      </c>
      <c r="L8" t="s">
        <v>61</v>
      </c>
      <c r="M8">
        <v>-1</v>
      </c>
    </row>
    <row r="9" spans="1:13" x14ac:dyDescent="0.3">
      <c r="A9">
        <v>7</v>
      </c>
      <c r="B9">
        <v>0</v>
      </c>
      <c r="C9">
        <v>0</v>
      </c>
      <c r="D9" t="s">
        <v>62</v>
      </c>
      <c r="E9">
        <v>1</v>
      </c>
      <c r="F9" t="s">
        <v>55</v>
      </c>
      <c r="G9">
        <v>1</v>
      </c>
      <c r="H9">
        <v>2</v>
      </c>
      <c r="I9" t="s">
        <v>56</v>
      </c>
      <c r="J9">
        <v>1</v>
      </c>
      <c r="K9">
        <v>7</v>
      </c>
      <c r="L9" t="s">
        <v>59</v>
      </c>
      <c r="M9">
        <v>-1</v>
      </c>
    </row>
    <row r="10" spans="1:13" x14ac:dyDescent="0.3">
      <c r="A10">
        <v>8</v>
      </c>
      <c r="B10">
        <v>0</v>
      </c>
      <c r="C10">
        <v>0</v>
      </c>
      <c r="D10" t="s">
        <v>62</v>
      </c>
      <c r="E10">
        <v>4</v>
      </c>
      <c r="F10" t="s">
        <v>57</v>
      </c>
      <c r="G10">
        <v>1</v>
      </c>
      <c r="H10">
        <v>8</v>
      </c>
      <c r="I10" t="s">
        <v>60</v>
      </c>
      <c r="J10">
        <v>-1</v>
      </c>
    </row>
    <row r="11" spans="1:13" x14ac:dyDescent="0.3">
      <c r="A11">
        <v>9</v>
      </c>
      <c r="B11">
        <v>0</v>
      </c>
      <c r="C11">
        <v>0</v>
      </c>
      <c r="D11" t="s">
        <v>62</v>
      </c>
      <c r="E11">
        <v>6</v>
      </c>
      <c r="F11" t="s">
        <v>58</v>
      </c>
      <c r="G11">
        <v>1</v>
      </c>
      <c r="H11">
        <v>9</v>
      </c>
      <c r="I11" t="s">
        <v>61</v>
      </c>
      <c r="J11">
        <v>-1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1"/>
  <sheetViews>
    <sheetView workbookViewId="0"/>
  </sheetViews>
  <sheetFormatPr baseColWidth="10" defaultColWidth="8.9375" defaultRowHeight="12.4" x14ac:dyDescent="0.3"/>
  <sheetData>
    <row r="1" spans="1:17" x14ac:dyDescent="0.3">
      <c r="A1" t="s">
        <v>40</v>
      </c>
      <c r="B1" t="s">
        <v>63</v>
      </c>
      <c r="C1" t="s">
        <v>64</v>
      </c>
      <c r="D1" t="s">
        <v>65</v>
      </c>
      <c r="E1" t="s">
        <v>66</v>
      </c>
      <c r="F1" t="s">
        <v>67</v>
      </c>
      <c r="G1" t="s">
        <v>68</v>
      </c>
      <c r="H1" t="s">
        <v>69</v>
      </c>
      <c r="I1" t="s">
        <v>70</v>
      </c>
      <c r="J1" t="s">
        <v>71</v>
      </c>
      <c r="K1" t="s">
        <v>72</v>
      </c>
      <c r="L1" t="s">
        <v>73</v>
      </c>
      <c r="M1" t="s">
        <v>74</v>
      </c>
      <c r="N1" t="s">
        <v>75</v>
      </c>
      <c r="O1" t="s">
        <v>76</v>
      </c>
      <c r="P1" t="s">
        <v>77</v>
      </c>
      <c r="Q1" t="s">
        <v>78</v>
      </c>
    </row>
    <row r="2" spans="1:17" x14ac:dyDescent="0.3">
      <c r="A2">
        <v>0</v>
      </c>
      <c r="B2" t="s">
        <v>35</v>
      </c>
      <c r="C2" t="s">
        <v>15</v>
      </c>
      <c r="D2" t="s">
        <v>22</v>
      </c>
      <c r="E2" t="s">
        <v>22</v>
      </c>
      <c r="F2" t="s">
        <v>15</v>
      </c>
      <c r="L2">
        <v>43.02</v>
      </c>
      <c r="N2" t="s">
        <v>79</v>
      </c>
      <c r="Q2" t="s">
        <v>80</v>
      </c>
    </row>
    <row r="3" spans="1:17" x14ac:dyDescent="0.3">
      <c r="A3">
        <v>1</v>
      </c>
      <c r="B3" t="s">
        <v>35</v>
      </c>
      <c r="C3" t="s">
        <v>15</v>
      </c>
      <c r="D3" t="s">
        <v>23</v>
      </c>
      <c r="E3" t="s">
        <v>23</v>
      </c>
      <c r="F3" t="s">
        <v>15</v>
      </c>
      <c r="L3">
        <v>25.71</v>
      </c>
      <c r="N3" t="s">
        <v>81</v>
      </c>
      <c r="Q3" t="s">
        <v>82</v>
      </c>
    </row>
    <row r="4" spans="1:17" x14ac:dyDescent="0.3">
      <c r="A4">
        <v>2</v>
      </c>
      <c r="B4" t="s">
        <v>35</v>
      </c>
      <c r="C4" t="s">
        <v>15</v>
      </c>
      <c r="D4" t="s">
        <v>25</v>
      </c>
      <c r="E4" t="s">
        <v>25</v>
      </c>
      <c r="F4" t="s">
        <v>15</v>
      </c>
      <c r="L4">
        <v>17.309999999999999</v>
      </c>
      <c r="N4" t="s">
        <v>83</v>
      </c>
      <c r="Q4" t="s">
        <v>82</v>
      </c>
    </row>
    <row r="5" spans="1:17" x14ac:dyDescent="0.3">
      <c r="A5">
        <v>3</v>
      </c>
      <c r="B5" t="s">
        <v>35</v>
      </c>
      <c r="C5" t="s">
        <v>16</v>
      </c>
      <c r="D5" t="s">
        <v>22</v>
      </c>
      <c r="E5" t="s">
        <v>22</v>
      </c>
      <c r="F5" t="s">
        <v>16</v>
      </c>
      <c r="G5">
        <v>30</v>
      </c>
      <c r="H5">
        <v>1.5</v>
      </c>
      <c r="I5">
        <v>0.1</v>
      </c>
      <c r="J5">
        <v>0</v>
      </c>
      <c r="K5">
        <v>500000000</v>
      </c>
      <c r="L5">
        <v>25.71</v>
      </c>
      <c r="M5">
        <v>-2.86</v>
      </c>
      <c r="N5" t="s">
        <v>84</v>
      </c>
      <c r="Q5" t="s">
        <v>85</v>
      </c>
    </row>
    <row r="6" spans="1:17" x14ac:dyDescent="0.3">
      <c r="A6">
        <v>4</v>
      </c>
      <c r="B6" t="s">
        <v>35</v>
      </c>
      <c r="C6" t="s">
        <v>16</v>
      </c>
      <c r="D6" t="s">
        <v>23</v>
      </c>
      <c r="E6" t="s">
        <v>23</v>
      </c>
      <c r="F6" t="s">
        <v>16</v>
      </c>
      <c r="G6">
        <v>30</v>
      </c>
      <c r="H6">
        <v>1.5</v>
      </c>
      <c r="I6">
        <v>0.1</v>
      </c>
      <c r="J6">
        <v>0</v>
      </c>
      <c r="K6">
        <v>500000000</v>
      </c>
      <c r="L6">
        <v>25.71</v>
      </c>
      <c r="M6">
        <v>-2.86</v>
      </c>
      <c r="N6" t="s">
        <v>86</v>
      </c>
      <c r="Q6" t="s">
        <v>85</v>
      </c>
    </row>
    <row r="7" spans="1:17" x14ac:dyDescent="0.3">
      <c r="A7">
        <v>5</v>
      </c>
      <c r="B7" t="s">
        <v>35</v>
      </c>
      <c r="C7" t="s">
        <v>18</v>
      </c>
      <c r="D7" t="s">
        <v>22</v>
      </c>
      <c r="E7" t="s">
        <v>22</v>
      </c>
      <c r="F7" t="s">
        <v>18</v>
      </c>
      <c r="G7">
        <v>15</v>
      </c>
      <c r="H7">
        <v>0.75</v>
      </c>
      <c r="I7">
        <v>0.1</v>
      </c>
      <c r="J7">
        <v>0</v>
      </c>
      <c r="K7">
        <v>500000000</v>
      </c>
      <c r="L7">
        <v>17.309999999999999</v>
      </c>
      <c r="M7">
        <v>3.08</v>
      </c>
      <c r="N7" t="s">
        <v>87</v>
      </c>
      <c r="Q7" t="s">
        <v>85</v>
      </c>
    </row>
    <row r="8" spans="1:17" x14ac:dyDescent="0.3">
      <c r="A8">
        <v>6</v>
      </c>
      <c r="B8" t="s">
        <v>35</v>
      </c>
      <c r="C8" t="s">
        <v>18</v>
      </c>
      <c r="D8" t="s">
        <v>25</v>
      </c>
      <c r="E8" t="s">
        <v>25</v>
      </c>
      <c r="F8" t="s">
        <v>18</v>
      </c>
      <c r="G8">
        <v>15</v>
      </c>
      <c r="H8">
        <v>0.75</v>
      </c>
      <c r="I8">
        <v>0.1</v>
      </c>
      <c r="J8">
        <v>0</v>
      </c>
      <c r="K8">
        <v>500000000</v>
      </c>
      <c r="L8">
        <v>17.309999999999999</v>
      </c>
      <c r="M8">
        <v>3.08</v>
      </c>
      <c r="N8" t="s">
        <v>88</v>
      </c>
      <c r="Q8" t="s">
        <v>85</v>
      </c>
    </row>
    <row r="9" spans="1:17" x14ac:dyDescent="0.3">
      <c r="A9">
        <v>7</v>
      </c>
      <c r="B9" t="s">
        <v>37</v>
      </c>
      <c r="C9" t="s">
        <v>15</v>
      </c>
      <c r="D9" t="s">
        <v>26</v>
      </c>
      <c r="E9" t="s">
        <v>15</v>
      </c>
      <c r="F9" t="s">
        <v>26</v>
      </c>
      <c r="L9">
        <v>43.02</v>
      </c>
      <c r="N9" t="s">
        <v>89</v>
      </c>
      <c r="Q9" t="s">
        <v>82</v>
      </c>
    </row>
    <row r="10" spans="1:17" x14ac:dyDescent="0.3">
      <c r="A10">
        <v>8</v>
      </c>
      <c r="B10" t="s">
        <v>37</v>
      </c>
      <c r="C10" t="s">
        <v>16</v>
      </c>
      <c r="D10" t="s">
        <v>26</v>
      </c>
      <c r="E10" t="s">
        <v>16</v>
      </c>
      <c r="F10" t="s">
        <v>26</v>
      </c>
      <c r="G10">
        <v>20</v>
      </c>
      <c r="H10">
        <v>1</v>
      </c>
      <c r="I10">
        <v>0.1</v>
      </c>
      <c r="J10">
        <v>0</v>
      </c>
      <c r="K10">
        <v>500000000</v>
      </c>
      <c r="L10">
        <v>25.71</v>
      </c>
      <c r="M10">
        <v>5.71</v>
      </c>
      <c r="N10" t="s">
        <v>90</v>
      </c>
      <c r="Q10" t="s">
        <v>85</v>
      </c>
    </row>
    <row r="11" spans="1:17" x14ac:dyDescent="0.3">
      <c r="A11">
        <v>9</v>
      </c>
      <c r="B11" t="s">
        <v>37</v>
      </c>
      <c r="C11" t="s">
        <v>18</v>
      </c>
      <c r="D11" t="s">
        <v>26</v>
      </c>
      <c r="E11" t="s">
        <v>18</v>
      </c>
      <c r="F11" t="s">
        <v>26</v>
      </c>
      <c r="G11">
        <v>25</v>
      </c>
      <c r="H11">
        <v>1.25</v>
      </c>
      <c r="I11">
        <v>0.1</v>
      </c>
      <c r="J11">
        <v>0</v>
      </c>
      <c r="K11">
        <v>500000000</v>
      </c>
      <c r="L11">
        <v>17.309999999999999</v>
      </c>
      <c r="M11">
        <v>-6.15</v>
      </c>
      <c r="N11" t="s">
        <v>91</v>
      </c>
      <c r="Q11" t="s">
        <v>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11"/>
  <sheetViews>
    <sheetView workbookViewId="0"/>
  </sheetViews>
  <sheetFormatPr baseColWidth="10" defaultColWidth="8.9375" defaultRowHeight="12.4" x14ac:dyDescent="0.3"/>
  <sheetData>
    <row r="2" spans="2:6" x14ac:dyDescent="0.3">
      <c r="C2" t="s">
        <v>92</v>
      </c>
      <c r="D2" t="s">
        <v>23</v>
      </c>
      <c r="E2" t="s">
        <v>25</v>
      </c>
      <c r="F2" t="s">
        <v>93</v>
      </c>
    </row>
    <row r="3" spans="2:6" x14ac:dyDescent="0.3">
      <c r="B3" t="s">
        <v>94</v>
      </c>
      <c r="C3">
        <v>43.02</v>
      </c>
      <c r="D3">
        <v>25.71</v>
      </c>
      <c r="E3">
        <v>17.309999999999999</v>
      </c>
    </row>
    <row r="4" spans="2:6" x14ac:dyDescent="0.3">
      <c r="B4" t="s">
        <v>16</v>
      </c>
      <c r="C4">
        <v>25.71</v>
      </c>
      <c r="D4">
        <v>25.71</v>
      </c>
    </row>
    <row r="5" spans="2:6" x14ac:dyDescent="0.3">
      <c r="B5" t="s">
        <v>18</v>
      </c>
      <c r="C5">
        <v>17.309999999999999</v>
      </c>
      <c r="E5">
        <v>17.309999999999999</v>
      </c>
    </row>
    <row r="8" spans="2:6" x14ac:dyDescent="0.3">
      <c r="C8" t="s">
        <v>92</v>
      </c>
      <c r="D8" t="s">
        <v>23</v>
      </c>
      <c r="E8" t="s">
        <v>25</v>
      </c>
      <c r="F8" t="s">
        <v>93</v>
      </c>
    </row>
    <row r="9" spans="2:6" x14ac:dyDescent="0.3">
      <c r="B9" t="s">
        <v>94</v>
      </c>
      <c r="F9">
        <v>43.02</v>
      </c>
    </row>
    <row r="10" spans="2:6" x14ac:dyDescent="0.3">
      <c r="B10" t="s">
        <v>16</v>
      </c>
      <c r="F10">
        <v>25.71</v>
      </c>
    </row>
    <row r="11" spans="2:6" x14ac:dyDescent="0.3">
      <c r="B11" t="s">
        <v>18</v>
      </c>
      <c r="F11">
        <v>17.309999999999999</v>
      </c>
    </row>
  </sheetData>
  <conditionalFormatting sqref="C3:F5">
    <cfRule type="cellIs" dxfId="1" priority="1" operator="equal">
      <formula>0</formula>
    </cfRule>
  </conditionalFormatting>
  <conditionalFormatting sqref="C9:F11">
    <cfRule type="cellIs" dxfId="0" priority="2" operator="equal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Param</vt:lpstr>
      <vt:lpstr>Dim produits</vt:lpstr>
      <vt:lpstr>Dim secteurs</vt:lpstr>
      <vt:lpstr>ter1</vt:lpstr>
      <vt:lpstr>data</vt:lpstr>
      <vt:lpstr>min_max</vt:lpstr>
      <vt:lpstr>other_constraints</vt:lpstr>
      <vt:lpstr>Ai</vt:lpstr>
      <vt:lpstr>Results</vt:lpstr>
      <vt:lpstr>result ter moy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Jean-Yves</dc:creator>
  <cp:lastModifiedBy>julie</cp:lastModifiedBy>
  <cp:revision>4</cp:revision>
  <dcterms:created xsi:type="dcterms:W3CDTF">2018-08-23T08:28:09Z</dcterms:created>
  <dcterms:modified xsi:type="dcterms:W3CDTF">2021-10-22T08:35:31Z</dcterms:modified>
  <dc:language>fr-FR</dc:language>
</cp:coreProperties>
</file>